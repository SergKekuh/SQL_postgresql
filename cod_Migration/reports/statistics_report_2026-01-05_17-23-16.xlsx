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<sst xmlns="http://schemas.openxmlformats.org/spreadsheetml/2006/main" count="52" uniqueCount="35">
  <si>
    <t>Группа</t>
  </si>
  <si>
    <t>Разовые</t>
  </si>
  <si>
    <t>Повторно</t>
  </si>
  <si>
    <t>Постоянно</t>
  </si>
  <si>
    <t>Сумма</t>
  </si>
  <si>
    <t>Процентное отношение</t>
  </si>
  <si>
    <t>Описание</t>
  </si>
  <si>
    <t>Кватртал</t>
  </si>
  <si>
    <t>Месяц</t>
  </si>
  <si>
    <t>Неделя</t>
  </si>
  <si>
    <t>День</t>
  </si>
  <si>
    <t>Количество накладных в год</t>
  </si>
  <si>
    <t>2-3</t>
  </si>
  <si>
    <t>4-10</t>
  </si>
  <si>
    <t>11-40</t>
  </si>
  <si>
    <t>41-170</t>
  </si>
  <si>
    <t>&gt;170</t>
  </si>
  <si>
    <t>Случайные С2 &lt; 2 тн в год</t>
  </si>
  <si>
    <t>Общее количество фирм</t>
  </si>
  <si>
    <t>Общее количество накладных</t>
  </si>
  <si>
    <t>Сумма продаж</t>
  </si>
  <si>
    <t>Средния цена за одну расх</t>
  </si>
  <si>
    <t>Процентное отношение по продажам</t>
  </si>
  <si>
    <t>Основные АВС &gt; 2 тн в год</t>
  </si>
  <si>
    <t>Сумма расходных</t>
  </si>
  <si>
    <t>Все АВС</t>
  </si>
  <si>
    <t xml:space="preserve">Важные                                  Основные АВС &gt; 2 тн в год + Постоянные С2 &lt; 2 тн в год  </t>
  </si>
  <si>
    <t>ИТОГО АВС</t>
  </si>
  <si>
    <t>Залётные</t>
  </si>
  <si>
    <t>Разовые основные</t>
  </si>
  <si>
    <t>Повторно основные</t>
  </si>
  <si>
    <t>Постоянные</t>
  </si>
  <si>
    <t>Всего</t>
  </si>
  <si>
    <t>Количество фирм</t>
  </si>
  <si>
    <t>Продажи по группам</t>
  </si>
</sst>
</file>

<file path=xl/styles.xml><?xml version="1.0" encoding="utf-8"?>
<styleSheet xmlns="http://schemas.openxmlformats.org/spreadsheetml/2006/main">
  <numFmts count="6">
    <numFmt numFmtId="176" formatCode="0.00;[Red]0.00"/>
    <numFmt numFmtId="44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179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7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9" fillId="0" borderId="54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0" borderId="48" applyNumberFormat="0" applyFill="0" applyAlignment="0" applyProtection="0">
      <alignment vertical="center"/>
    </xf>
    <xf numFmtId="0" fontId="16" fillId="7" borderId="5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0" fillId="8" borderId="51" applyNumberFormat="0" applyFont="0" applyAlignment="0" applyProtection="0">
      <alignment vertical="center"/>
    </xf>
    <xf numFmtId="0" fontId="15" fillId="10" borderId="50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7" borderId="50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4" fillId="0" borderId="5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4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4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6" borderId="49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>
      <alignment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1" fillId="0" borderId="3" xfId="0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right" vertical="center"/>
    </xf>
    <xf numFmtId="49" fontId="0" fillId="0" borderId="13" xfId="0" applyNumberFormat="1" applyBorder="1" applyAlignment="1">
      <alignment horizontal="right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0" fillId="0" borderId="12" xfId="0" applyNumberFormat="1" applyBorder="1">
      <alignment vertical="center"/>
    </xf>
    <xf numFmtId="10" fontId="0" fillId="0" borderId="13" xfId="0" applyNumberFormat="1" applyBorder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10" fontId="1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49" fontId="1" fillId="2" borderId="28" xfId="0" applyNumberFormat="1" applyFon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center" vertical="center"/>
    </xf>
    <xf numFmtId="0" fontId="1" fillId="2" borderId="30" xfId="0" applyFont="1" applyFill="1" applyBorder="1">
      <alignment vertical="center"/>
    </xf>
    <xf numFmtId="0" fontId="1" fillId="2" borderId="31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33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1" fillId="0" borderId="10" xfId="0" applyFont="1" applyBorder="1">
      <alignment vertical="center"/>
    </xf>
    <xf numFmtId="0" fontId="1" fillId="0" borderId="33" xfId="0" applyFont="1" applyBorder="1">
      <alignment vertical="center"/>
    </xf>
    <xf numFmtId="49" fontId="0" fillId="0" borderId="34" xfId="0" applyNumberFormat="1" applyBorder="1" applyAlignment="1">
      <alignment horizontal="right" vertical="center"/>
    </xf>
    <xf numFmtId="49" fontId="0" fillId="0" borderId="35" xfId="0" applyNumberFormat="1" applyBorder="1" applyAlignment="1">
      <alignment horizontal="right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35" xfId="0" applyNumberFormat="1" applyFont="1" applyBorder="1" applyAlignment="1">
      <alignment horizontal="right" vertical="center"/>
    </xf>
    <xf numFmtId="4" fontId="0" fillId="0" borderId="10" xfId="0" applyNumberFormat="1" applyBorder="1">
      <alignment vertical="center"/>
    </xf>
    <xf numFmtId="4" fontId="0" fillId="0" borderId="11" xfId="0" applyNumberFormat="1" applyBorder="1">
      <alignment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0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1" fillId="2" borderId="29" xfId="0" applyFont="1" applyFill="1" applyBorder="1">
      <alignment vertical="center"/>
    </xf>
    <xf numFmtId="0" fontId="2" fillId="3" borderId="43" xfId="0" applyFont="1" applyFill="1" applyBorder="1" applyAlignment="1">
      <alignment horizontal="center" vertical="center"/>
    </xf>
    <xf numFmtId="0" fontId="1" fillId="3" borderId="19" xfId="0" applyFont="1" applyFill="1" applyBorder="1">
      <alignment vertical="center"/>
    </xf>
    <xf numFmtId="10" fontId="1" fillId="3" borderId="1" xfId="47" applyNumberFormat="1" applyFont="1" applyFill="1" applyBorder="1">
      <alignment vertical="center"/>
    </xf>
    <xf numFmtId="0" fontId="1" fillId="0" borderId="20" xfId="0" applyFont="1" applyBorder="1">
      <alignment vertical="center"/>
    </xf>
    <xf numFmtId="0" fontId="1" fillId="3" borderId="44" xfId="0" applyFont="1" applyFill="1" applyBorder="1">
      <alignment vertical="center"/>
    </xf>
    <xf numFmtId="10" fontId="1" fillId="3" borderId="2" xfId="0" applyNumberFormat="1" applyFont="1" applyFill="1" applyBorder="1">
      <alignment vertical="center"/>
    </xf>
    <xf numFmtId="0" fontId="1" fillId="0" borderId="38" xfId="0" applyFont="1" applyBorder="1">
      <alignment vertical="center"/>
    </xf>
    <xf numFmtId="0" fontId="1" fillId="0" borderId="44" xfId="0" applyFont="1" applyBorder="1">
      <alignment vertical="center"/>
    </xf>
    <xf numFmtId="10" fontId="1" fillId="0" borderId="2" xfId="0" applyNumberFormat="1" applyFont="1" applyBorder="1">
      <alignment vertical="center"/>
    </xf>
    <xf numFmtId="49" fontId="1" fillId="0" borderId="21" xfId="0" applyNumberFormat="1" applyFont="1" applyBorder="1" applyAlignment="1">
      <alignment horizontal="right" vertical="center"/>
    </xf>
    <xf numFmtId="0" fontId="1" fillId="0" borderId="3" xfId="0" applyFont="1" applyBorder="1">
      <alignment vertical="center"/>
    </xf>
    <xf numFmtId="0" fontId="1" fillId="0" borderId="22" xfId="0" applyFont="1" applyBorder="1">
      <alignment vertical="center"/>
    </xf>
    <xf numFmtId="0" fontId="0" fillId="3" borderId="45" xfId="0" applyFill="1" applyBorder="1" applyAlignment="1">
      <alignment horizontal="center" vertical="center"/>
    </xf>
    <xf numFmtId="179" fontId="1" fillId="0" borderId="44" xfId="0" applyNumberFormat="1" applyFont="1" applyBorder="1">
      <alignment vertical="center"/>
    </xf>
    <xf numFmtId="0" fontId="1" fillId="3" borderId="36" xfId="0" applyFont="1" applyFill="1" applyBorder="1">
      <alignment vertical="center"/>
    </xf>
    <xf numFmtId="9" fontId="1" fillId="3" borderId="1" xfId="47" applyFont="1" applyFill="1" applyBorder="1">
      <alignment vertical="center"/>
    </xf>
    <xf numFmtId="0" fontId="1" fillId="0" borderId="9" xfId="0" applyFont="1" applyBorder="1">
      <alignment vertical="center"/>
    </xf>
    <xf numFmtId="0" fontId="1" fillId="3" borderId="37" xfId="0" applyFont="1" applyFill="1" applyBorder="1">
      <alignment vertical="center"/>
    </xf>
    <xf numFmtId="9" fontId="1" fillId="3" borderId="2" xfId="47" applyFont="1" applyFill="1" applyBorder="1">
      <alignment vertical="center"/>
    </xf>
    <xf numFmtId="0" fontId="1" fillId="0" borderId="11" xfId="0" applyFont="1" applyBorder="1">
      <alignment vertical="center"/>
    </xf>
    <xf numFmtId="0" fontId="1" fillId="0" borderId="37" xfId="0" applyFont="1" applyBorder="1">
      <alignment vertical="center"/>
    </xf>
    <xf numFmtId="9" fontId="1" fillId="0" borderId="2" xfId="47" applyFont="1" applyBorder="1">
      <alignment vertical="center"/>
    </xf>
    <xf numFmtId="179" fontId="1" fillId="0" borderId="37" xfId="0" applyNumberFormat="1" applyFont="1" applyBorder="1">
      <alignment vertical="center"/>
    </xf>
    <xf numFmtId="49" fontId="1" fillId="0" borderId="39" xfId="0" applyNumberFormat="1" applyFont="1" applyBorder="1" applyAlignment="1">
      <alignment horizontal="right" vertical="center"/>
    </xf>
    <xf numFmtId="0" fontId="1" fillId="0" borderId="13" xfId="0" applyFont="1" applyBorder="1">
      <alignment vertical="center"/>
    </xf>
    <xf numFmtId="0" fontId="0" fillId="3" borderId="43" xfId="0" applyFill="1" applyBorder="1" applyAlignment="1">
      <alignment horizontal="center" vertical="center"/>
    </xf>
    <xf numFmtId="10" fontId="1" fillId="3" borderId="1" xfId="0" applyNumberFormat="1" applyFont="1" applyFill="1" applyBorder="1">
      <alignment vertical="center"/>
    </xf>
    <xf numFmtId="9" fontId="1" fillId="0" borderId="39" xfId="0" applyNumberFormat="1" applyFont="1" applyBorder="1">
      <alignment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9" fontId="1" fillId="0" borderId="22" xfId="0" applyNumberFormat="1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6"/>
  <sheetViews>
    <sheetView tabSelected="1" workbookViewId="0">
      <selection activeCell="M12" sqref="M12"/>
    </sheetView>
  </sheetViews>
  <sheetFormatPr defaultColWidth="8.8" defaultRowHeight="15"/>
  <cols>
    <col min="1" max="1" width="3.3" customWidth="1"/>
    <col min="2" max="2" width="26.4" customWidth="1"/>
    <col min="3" max="6" width="12.1" customWidth="1"/>
    <col min="7" max="8" width="13.3" customWidth="1"/>
    <col min="9" max="10" width="12.1" customWidth="1"/>
    <col min="11" max="11" width="34.2" customWidth="1"/>
  </cols>
  <sheetData>
    <row r="2" ht="15.75" spans="2:11">
      <c r="B2" s="1" t="s">
        <v>0</v>
      </c>
      <c r="C2" s="1" t="s">
        <v>1</v>
      </c>
      <c r="D2" s="1" t="s">
        <v>2</v>
      </c>
      <c r="E2" s="43" t="s">
        <v>3</v>
      </c>
      <c r="F2" s="44"/>
      <c r="G2" s="44"/>
      <c r="H2" s="45"/>
      <c r="I2" s="64" t="s">
        <v>4</v>
      </c>
      <c r="J2" s="75" t="s">
        <v>5</v>
      </c>
      <c r="K2" s="65" t="s">
        <v>6</v>
      </c>
    </row>
    <row r="3" spans="2:11">
      <c r="B3" s="2"/>
      <c r="C3" s="2"/>
      <c r="D3" s="2"/>
      <c r="E3" s="46" t="s">
        <v>7</v>
      </c>
      <c r="F3" s="1" t="s">
        <v>8</v>
      </c>
      <c r="G3" s="46" t="s">
        <v>9</v>
      </c>
      <c r="H3" s="1" t="s">
        <v>10</v>
      </c>
      <c r="I3" s="66"/>
      <c r="J3" s="76"/>
      <c r="K3" s="67"/>
    </row>
    <row r="4" ht="15.75" spans="2:11">
      <c r="B4" s="3"/>
      <c r="C4" s="3"/>
      <c r="D4" s="3"/>
      <c r="E4" s="47"/>
      <c r="F4" s="3"/>
      <c r="G4" s="47"/>
      <c r="H4" s="3"/>
      <c r="I4" s="47"/>
      <c r="J4" s="77"/>
      <c r="K4" s="78"/>
    </row>
    <row r="5" ht="15.75" spans="2:11">
      <c r="B5" s="4" t="s">
        <v>11</v>
      </c>
      <c r="C5" s="5">
        <v>1</v>
      </c>
      <c r="D5" s="6" t="s">
        <v>12</v>
      </c>
      <c r="E5" s="48" t="s">
        <v>13</v>
      </c>
      <c r="F5" s="6" t="s">
        <v>14</v>
      </c>
      <c r="G5" s="6" t="s">
        <v>15</v>
      </c>
      <c r="H5" s="49" t="s">
        <v>16</v>
      </c>
      <c r="I5" s="79"/>
      <c r="J5" s="80"/>
      <c r="K5" s="79" t="s">
        <v>11</v>
      </c>
    </row>
    <row r="6" ht="21" spans="2:11">
      <c r="B6" s="7">
        <v>2025</v>
      </c>
      <c r="C6" s="8"/>
      <c r="D6" s="8"/>
      <c r="E6" s="8"/>
      <c r="F6" s="8"/>
      <c r="G6" s="8"/>
      <c r="H6" s="8"/>
      <c r="I6" s="8"/>
      <c r="J6" s="8"/>
      <c r="K6" s="81"/>
    </row>
    <row r="7" spans="2:11">
      <c r="B7" s="9" t="s">
        <v>17</v>
      </c>
      <c r="C7" s="10">
        <v>246</v>
      </c>
      <c r="D7" s="11">
        <v>132</v>
      </c>
      <c r="E7" s="50">
        <v>83</v>
      </c>
      <c r="F7" s="51">
        <v>13</v>
      </c>
      <c r="G7" s="10"/>
      <c r="H7" s="51"/>
      <c r="I7" s="82">
        <v>474</v>
      </c>
      <c r="J7" s="83">
        <f>I7/$I$19</f>
        <v>0.487654320987654</v>
      </c>
      <c r="K7" s="84" t="s">
        <v>18</v>
      </c>
    </row>
    <row r="8" spans="2:11">
      <c r="B8" s="12"/>
      <c r="C8" s="13">
        <v>246</v>
      </c>
      <c r="D8" s="14">
        <v>317</v>
      </c>
      <c r="E8" s="52">
        <v>470</v>
      </c>
      <c r="F8" s="53">
        <v>190</v>
      </c>
      <c r="G8" s="13"/>
      <c r="H8" s="53"/>
      <c r="I8" s="85">
        <v>1223</v>
      </c>
      <c r="J8" s="86">
        <f>I8/$I$20</f>
        <v>0.107648974562098</v>
      </c>
      <c r="K8" s="87" t="s">
        <v>19</v>
      </c>
    </row>
    <row r="9" spans="2:11">
      <c r="B9" s="12"/>
      <c r="C9" s="15">
        <v>7159775.25</v>
      </c>
      <c r="D9" s="16">
        <v>7325554.6</v>
      </c>
      <c r="E9" s="54">
        <v>6438649.2</v>
      </c>
      <c r="F9" s="55">
        <v>1250866.2</v>
      </c>
      <c r="G9" s="56"/>
      <c r="H9" s="57"/>
      <c r="I9" s="88">
        <v>22174845.25</v>
      </c>
      <c r="J9" s="89">
        <f>I9/$I$21</f>
        <v>0.0268741559743388</v>
      </c>
      <c r="K9" s="87" t="s">
        <v>20</v>
      </c>
    </row>
    <row r="10" spans="2:11">
      <c r="B10" s="12"/>
      <c r="C10" s="17">
        <v>29104.78</v>
      </c>
      <c r="D10" s="16">
        <v>23109.01</v>
      </c>
      <c r="E10" s="54">
        <v>13699.25</v>
      </c>
      <c r="F10" s="55">
        <v>6583.51</v>
      </c>
      <c r="G10" s="56"/>
      <c r="H10" s="57"/>
      <c r="I10" s="88">
        <v>18124.14</v>
      </c>
      <c r="J10" s="89">
        <f>I10/$I$28</f>
        <v>0.09328287000439</v>
      </c>
      <c r="K10" s="87" t="s">
        <v>21</v>
      </c>
    </row>
    <row r="11" ht="15.75" spans="2:11">
      <c r="B11" s="18"/>
      <c r="C11" s="19">
        <v>32.29</v>
      </c>
      <c r="D11" s="20">
        <v>33.04</v>
      </c>
      <c r="E11" s="58">
        <v>29.04</v>
      </c>
      <c r="F11" s="59">
        <v>5.64</v>
      </c>
      <c r="G11" s="60"/>
      <c r="H11" s="61"/>
      <c r="I11" s="90">
        <v>100</v>
      </c>
      <c r="J11" s="91"/>
      <c r="K11" s="92" t="s">
        <v>22</v>
      </c>
    </row>
    <row r="12" ht="9" customHeight="1" spans="2:11">
      <c r="B12" s="21"/>
      <c r="C12" s="22">
        <v>32.29</v>
      </c>
      <c r="D12" s="22">
        <v>33.04</v>
      </c>
      <c r="E12" s="22">
        <v>29.04</v>
      </c>
      <c r="F12" s="22">
        <v>5.64</v>
      </c>
      <c r="G12" s="22"/>
      <c r="H12" s="22"/>
      <c r="I12" s="22">
        <v>100</v>
      </c>
      <c r="J12" s="22"/>
      <c r="K12" s="93"/>
    </row>
    <row r="13" spans="2:11">
      <c r="B13" s="23" t="s">
        <v>23</v>
      </c>
      <c r="C13" s="10">
        <v>40</v>
      </c>
      <c r="D13" s="11">
        <v>75</v>
      </c>
      <c r="E13" s="10">
        <v>145</v>
      </c>
      <c r="F13" s="11">
        <v>163</v>
      </c>
      <c r="G13" s="50">
        <v>71</v>
      </c>
      <c r="H13" s="51">
        <v>4</v>
      </c>
      <c r="I13" s="82">
        <v>498</v>
      </c>
      <c r="J13" s="83">
        <f>I13/$I$19</f>
        <v>0.512345679012346</v>
      </c>
      <c r="K13" s="84" t="s">
        <v>18</v>
      </c>
    </row>
    <row r="14" spans="2:11">
      <c r="B14" s="24"/>
      <c r="C14" s="13">
        <v>40</v>
      </c>
      <c r="D14" s="14">
        <v>186</v>
      </c>
      <c r="E14" s="13">
        <v>968</v>
      </c>
      <c r="F14" s="14">
        <v>3262</v>
      </c>
      <c r="G14" s="52">
        <v>4656</v>
      </c>
      <c r="H14" s="53">
        <v>1026</v>
      </c>
      <c r="I14" s="85">
        <v>10138</v>
      </c>
      <c r="J14" s="86">
        <f>I14/$I$20</f>
        <v>0.892351025437902</v>
      </c>
      <c r="K14" s="87" t="s">
        <v>24</v>
      </c>
    </row>
    <row r="15" spans="2:11">
      <c r="B15" s="24"/>
      <c r="C15" s="15">
        <v>13354145.2</v>
      </c>
      <c r="D15" s="16">
        <v>32869239.5</v>
      </c>
      <c r="E15" s="17">
        <v>103845853.96</v>
      </c>
      <c r="F15" s="16">
        <v>271670632.52</v>
      </c>
      <c r="G15" s="54">
        <v>333715265.86</v>
      </c>
      <c r="H15" s="55">
        <v>47506452.55</v>
      </c>
      <c r="I15" s="88">
        <v>802961589.59</v>
      </c>
      <c r="J15" s="89">
        <f>I15/$I$21</f>
        <v>0.973125844025661</v>
      </c>
      <c r="K15" s="87" t="s">
        <v>20</v>
      </c>
    </row>
    <row r="16" spans="2:11">
      <c r="B16" s="24"/>
      <c r="C16" s="17">
        <v>333853.63</v>
      </c>
      <c r="D16" s="16">
        <v>176716.34</v>
      </c>
      <c r="E16" s="17">
        <v>107278.77</v>
      </c>
      <c r="F16" s="16">
        <v>83283.46</v>
      </c>
      <c r="G16" s="54">
        <v>71674.24</v>
      </c>
      <c r="H16" s="55">
        <v>46302.59</v>
      </c>
      <c r="I16" s="94">
        <v>136518.17</v>
      </c>
      <c r="J16" s="89">
        <f>I16/$I$28</f>
        <v>0.702643364338789</v>
      </c>
      <c r="K16" s="87" t="s">
        <v>21</v>
      </c>
    </row>
    <row r="17" ht="15.75" spans="2:11">
      <c r="B17" s="25"/>
      <c r="C17" s="19">
        <v>1.66</v>
      </c>
      <c r="D17" s="20">
        <v>4.09</v>
      </c>
      <c r="E17" s="19">
        <v>12.93</v>
      </c>
      <c r="F17" s="20">
        <v>33.83</v>
      </c>
      <c r="G17" s="58">
        <v>41.56</v>
      </c>
      <c r="H17" s="59">
        <v>5.92</v>
      </c>
      <c r="I17" s="90">
        <v>100</v>
      </c>
      <c r="J17" s="91"/>
      <c r="K17" s="92" t="s">
        <v>22</v>
      </c>
    </row>
    <row r="18" ht="9" customHeight="1" spans="2:11">
      <c r="B18" s="21"/>
      <c r="C18" s="22">
        <v>1.66</v>
      </c>
      <c r="D18" s="22">
        <v>4.09</v>
      </c>
      <c r="E18" s="22">
        <v>12.93</v>
      </c>
      <c r="F18" s="22">
        <v>33.83</v>
      </c>
      <c r="G18" s="22">
        <v>41.56</v>
      </c>
      <c r="H18" s="22">
        <v>5.92</v>
      </c>
      <c r="I18" s="22">
        <v>100</v>
      </c>
      <c r="J18" s="22"/>
      <c r="K18" s="93"/>
    </row>
    <row r="19" spans="2:11">
      <c r="B19" s="26" t="s">
        <v>25</v>
      </c>
      <c r="C19" s="10">
        <v>286</v>
      </c>
      <c r="D19" s="11">
        <v>207</v>
      </c>
      <c r="E19" s="50">
        <v>228</v>
      </c>
      <c r="F19" s="51">
        <v>176</v>
      </c>
      <c r="G19" s="10">
        <v>71</v>
      </c>
      <c r="H19" s="11">
        <v>4</v>
      </c>
      <c r="I19" s="95">
        <v>972</v>
      </c>
      <c r="J19" s="96">
        <v>1</v>
      </c>
      <c r="K19" s="97" t="s">
        <v>18</v>
      </c>
    </row>
    <row r="20" spans="2:11">
      <c r="B20" s="27"/>
      <c r="C20" s="13">
        <v>286</v>
      </c>
      <c r="D20" s="14">
        <v>503</v>
      </c>
      <c r="E20" s="52">
        <v>1438</v>
      </c>
      <c r="F20" s="53">
        <v>3452</v>
      </c>
      <c r="G20" s="13">
        <v>4656</v>
      </c>
      <c r="H20" s="14">
        <v>1026</v>
      </c>
      <c r="I20" s="98">
        <v>11361</v>
      </c>
      <c r="J20" s="99">
        <v>1</v>
      </c>
      <c r="K20" s="100" t="s">
        <v>24</v>
      </c>
    </row>
    <row r="21" spans="2:11">
      <c r="B21" s="27"/>
      <c r="C21" s="15">
        <v>20513920.45</v>
      </c>
      <c r="D21" s="16">
        <v>40194794.1</v>
      </c>
      <c r="E21" s="54">
        <v>110284503.16</v>
      </c>
      <c r="F21" s="55">
        <v>272921498.72</v>
      </c>
      <c r="G21" s="17">
        <v>333715265.86</v>
      </c>
      <c r="H21" s="16">
        <v>47506452.55</v>
      </c>
      <c r="I21" s="101">
        <v>825136434.84</v>
      </c>
      <c r="J21" s="102">
        <v>1</v>
      </c>
      <c r="K21" s="100" t="s">
        <v>20</v>
      </c>
    </row>
    <row r="22" spans="2:11">
      <c r="B22" s="27"/>
      <c r="C22" s="17">
        <v>71726.99</v>
      </c>
      <c r="D22" s="16">
        <v>79910.13</v>
      </c>
      <c r="E22" s="54">
        <v>76692.98</v>
      </c>
      <c r="F22" s="55">
        <v>79061.85</v>
      </c>
      <c r="G22" s="62">
        <v>71674.24</v>
      </c>
      <c r="H22" s="63">
        <v>46302.59</v>
      </c>
      <c r="I22" s="103">
        <v>70894.8</v>
      </c>
      <c r="J22" s="89">
        <f>I22/I28</f>
        <v>0.364887404996167</v>
      </c>
      <c r="K22" s="100" t="s">
        <v>21</v>
      </c>
    </row>
    <row r="23" ht="15.75" spans="2:11">
      <c r="B23" s="28"/>
      <c r="C23" s="19">
        <v>2.49</v>
      </c>
      <c r="D23" s="20">
        <v>4.87</v>
      </c>
      <c r="E23" s="58">
        <v>13.37</v>
      </c>
      <c r="F23" s="59">
        <v>33.08</v>
      </c>
      <c r="G23" s="19">
        <v>40.44</v>
      </c>
      <c r="H23" s="20">
        <v>5.76</v>
      </c>
      <c r="I23" s="104">
        <v>100</v>
      </c>
      <c r="J23" s="91"/>
      <c r="K23" s="105" t="s">
        <v>22</v>
      </c>
    </row>
    <row r="24" ht="9" customHeight="1" spans="2:11">
      <c r="B24" s="29"/>
      <c r="C24" s="30">
        <v>2.49</v>
      </c>
      <c r="D24" s="30">
        <v>4.87</v>
      </c>
      <c r="E24" s="30">
        <v>13.37</v>
      </c>
      <c r="F24" s="30">
        <v>33.08</v>
      </c>
      <c r="G24" s="30">
        <v>40.44</v>
      </c>
      <c r="H24" s="30">
        <v>5.76</v>
      </c>
      <c r="I24" s="30">
        <v>100</v>
      </c>
      <c r="J24" s="30"/>
      <c r="K24" s="106"/>
    </row>
    <row r="25" spans="2:11">
      <c r="B25" s="9" t="s">
        <v>26</v>
      </c>
      <c r="C25" s="10">
        <f>C13</f>
        <v>40</v>
      </c>
      <c r="D25" s="11">
        <f>D13</f>
        <v>75</v>
      </c>
      <c r="E25" s="64">
        <f>SUM(E19:H19)</f>
        <v>479</v>
      </c>
      <c r="F25" s="64"/>
      <c r="G25" s="64"/>
      <c r="H25" s="65"/>
      <c r="I25" s="95">
        <f>SUM(C25:H25)</f>
        <v>594</v>
      </c>
      <c r="J25" s="107">
        <f>I25/I19</f>
        <v>0.611111111111111</v>
      </c>
      <c r="K25" s="97" t="s">
        <v>18</v>
      </c>
    </row>
    <row r="26" spans="2:11">
      <c r="B26" s="12"/>
      <c r="C26" s="13">
        <f>C14</f>
        <v>40</v>
      </c>
      <c r="D26" s="14">
        <f>D14</f>
        <v>186</v>
      </c>
      <c r="E26" s="66">
        <f>SUM(E20:H20)</f>
        <v>10572</v>
      </c>
      <c r="F26" s="66"/>
      <c r="G26" s="66"/>
      <c r="H26" s="67"/>
      <c r="I26" s="98">
        <f>SUM(C26:H26)</f>
        <v>10798</v>
      </c>
      <c r="J26" s="86">
        <f>I26/I20</f>
        <v>0.950444503124725</v>
      </c>
      <c r="K26" s="100" t="s">
        <v>24</v>
      </c>
    </row>
    <row r="27" spans="2:11">
      <c r="B27" s="12"/>
      <c r="C27" s="17">
        <f>C15</f>
        <v>13354145.2</v>
      </c>
      <c r="D27" s="16">
        <f>D15</f>
        <v>32869239.5</v>
      </c>
      <c r="E27" s="68">
        <f>SUM(E21:H21)</f>
        <v>764427720.29</v>
      </c>
      <c r="F27" s="68"/>
      <c r="G27" s="68"/>
      <c r="H27" s="69"/>
      <c r="I27" s="101">
        <f>SUM(C27:H27)</f>
        <v>810651104.99</v>
      </c>
      <c r="J27" s="89">
        <f>I27/I21</f>
        <v>0.982444927604235</v>
      </c>
      <c r="K27" s="100" t="s">
        <v>20</v>
      </c>
    </row>
    <row r="28" spans="2:11">
      <c r="B28" s="12"/>
      <c r="C28" s="17">
        <f>C16</f>
        <v>333853.63</v>
      </c>
      <c r="D28" s="16">
        <f>D16</f>
        <v>176716.34</v>
      </c>
      <c r="E28" s="68">
        <f>E27/E26</f>
        <v>72306.8218208475</v>
      </c>
      <c r="F28" s="68"/>
      <c r="G28" s="68"/>
      <c r="H28" s="69"/>
      <c r="I28" s="103">
        <f>AVERAGE(C28:H28)</f>
        <v>194292.263940282</v>
      </c>
      <c r="J28" s="102">
        <v>1</v>
      </c>
      <c r="K28" s="100" t="s">
        <v>21</v>
      </c>
    </row>
    <row r="29" ht="15.75" spans="2:11">
      <c r="B29" s="18"/>
      <c r="C29" s="31">
        <f>C27/I27</f>
        <v>0.0164733571789367</v>
      </c>
      <c r="D29" s="32">
        <f>D27/I27</f>
        <v>0.0405467152239378</v>
      </c>
      <c r="E29" s="70">
        <f>E27/I27</f>
        <v>0.942979927597125</v>
      </c>
      <c r="F29" s="71"/>
      <c r="G29" s="71"/>
      <c r="H29" s="72"/>
      <c r="I29" s="108">
        <v>1</v>
      </c>
      <c r="J29" s="91"/>
      <c r="K29" s="105" t="s">
        <v>22</v>
      </c>
    </row>
    <row r="30" ht="15.75"/>
    <row r="31" spans="2:11">
      <c r="B31" s="33" t="s">
        <v>27</v>
      </c>
      <c r="C31" s="33" t="s">
        <v>28</v>
      </c>
      <c r="D31" s="34"/>
      <c r="E31" s="73" t="s">
        <v>29</v>
      </c>
      <c r="F31" s="73"/>
      <c r="G31" s="33" t="s">
        <v>30</v>
      </c>
      <c r="H31" s="34"/>
      <c r="I31" s="73" t="s">
        <v>31</v>
      </c>
      <c r="J31" s="73"/>
      <c r="K31" s="109" t="s">
        <v>32</v>
      </c>
    </row>
    <row r="32" ht="15.75" spans="2:11">
      <c r="B32" s="35"/>
      <c r="C32" s="35"/>
      <c r="D32" s="36"/>
      <c r="E32" s="74"/>
      <c r="F32" s="74"/>
      <c r="G32" s="35"/>
      <c r="H32" s="36"/>
      <c r="I32" s="74"/>
      <c r="J32" s="74"/>
      <c r="K32" s="110"/>
    </row>
    <row r="33" ht="18" customHeight="1" spans="2:11">
      <c r="B33" s="37" t="s">
        <v>33</v>
      </c>
      <c r="C33" s="38">
        <f>C7+D7</f>
        <v>378</v>
      </c>
      <c r="D33" s="39"/>
      <c r="E33" s="38">
        <f>C13</f>
        <v>40</v>
      </c>
      <c r="F33" s="39"/>
      <c r="G33" s="38">
        <f>D13</f>
        <v>75</v>
      </c>
      <c r="H33" s="39"/>
      <c r="I33" s="38">
        <f>E25</f>
        <v>479</v>
      </c>
      <c r="J33" s="39"/>
      <c r="K33" s="39">
        <f>C33+E33+G33+I33</f>
        <v>972</v>
      </c>
    </row>
    <row r="34" ht="18" customHeight="1" spans="2:11">
      <c r="B34" s="40" t="s">
        <v>5</v>
      </c>
      <c r="C34" s="41">
        <f>C33/$K$33</f>
        <v>0.388888888888889</v>
      </c>
      <c r="D34" s="42"/>
      <c r="E34" s="41">
        <f>E33/$K$33</f>
        <v>0.0411522633744856</v>
      </c>
      <c r="F34" s="42"/>
      <c r="G34" s="41">
        <f>G33/$K$33</f>
        <v>0.0771604938271605</v>
      </c>
      <c r="H34" s="42"/>
      <c r="I34" s="41">
        <f>I33/$K$33</f>
        <v>0.492798353909465</v>
      </c>
      <c r="J34" s="42"/>
      <c r="K34" s="111">
        <v>1</v>
      </c>
    </row>
    <row r="35" ht="18" customHeight="1" spans="2:11">
      <c r="B35" s="37" t="s">
        <v>34</v>
      </c>
      <c r="C35" s="38">
        <f>C9+D9</f>
        <v>14485329.85</v>
      </c>
      <c r="D35" s="39"/>
      <c r="E35" s="38">
        <f>C15</f>
        <v>13354145.2</v>
      </c>
      <c r="F35" s="39"/>
      <c r="G35" s="38">
        <f>D15</f>
        <v>32869239.5</v>
      </c>
      <c r="H35" s="39"/>
      <c r="I35" s="38">
        <f>E27</f>
        <v>764427720.29</v>
      </c>
      <c r="J35" s="39"/>
      <c r="K35" s="39">
        <f>C35+E35+G35+I35</f>
        <v>825136434.84</v>
      </c>
    </row>
    <row r="36" ht="18" customHeight="1" spans="2:11">
      <c r="B36" s="40" t="s">
        <v>5</v>
      </c>
      <c r="C36" s="41">
        <f>C35/$K$35</f>
        <v>0.0175550723957654</v>
      </c>
      <c r="D36" s="42"/>
      <c r="E36" s="41">
        <f>E35/$K$35</f>
        <v>0.0161841662010592</v>
      </c>
      <c r="F36" s="42"/>
      <c r="G36" s="41">
        <f>G35/$K$35</f>
        <v>0.039834914702771</v>
      </c>
      <c r="H36" s="42"/>
      <c r="I36" s="41">
        <f>I35/$K$35</f>
        <v>0.926425846700404</v>
      </c>
      <c r="J36" s="42"/>
      <c r="K36" s="111">
        <v>1</v>
      </c>
    </row>
  </sheetData>
  <mergeCells count="46">
    <mergeCell ref="E2:H2"/>
    <mergeCell ref="B6:K6"/>
    <mergeCell ref="B12:K12"/>
    <mergeCell ref="B18:K18"/>
    <mergeCell ref="B24:K24"/>
    <mergeCell ref="E25:H25"/>
    <mergeCell ref="E26:H26"/>
    <mergeCell ref="E27:H27"/>
    <mergeCell ref="E28:H28"/>
    <mergeCell ref="E29:H29"/>
    <mergeCell ref="C33:D33"/>
    <mergeCell ref="E33:F33"/>
    <mergeCell ref="G33:H33"/>
    <mergeCell ref="I33:J33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E36:F36"/>
    <mergeCell ref="G36:H36"/>
    <mergeCell ref="I36:J36"/>
    <mergeCell ref="B2:B4"/>
    <mergeCell ref="B7:B11"/>
    <mergeCell ref="B13:B17"/>
    <mergeCell ref="B19:B23"/>
    <mergeCell ref="B25:B29"/>
    <mergeCell ref="B31:B32"/>
    <mergeCell ref="C2:C4"/>
    <mergeCell ref="D2:D4"/>
    <mergeCell ref="E3:E4"/>
    <mergeCell ref="F3:F4"/>
    <mergeCell ref="G3:G4"/>
    <mergeCell ref="H3:H4"/>
    <mergeCell ref="I2:I4"/>
    <mergeCell ref="J2:J4"/>
    <mergeCell ref="K2:K4"/>
    <mergeCell ref="K31:K32"/>
    <mergeCell ref="C31:D32"/>
    <mergeCell ref="E31:F32"/>
    <mergeCell ref="G31:H32"/>
    <mergeCell ref="I31:J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2025-05-31T18:40:00Z</dcterms:created>
  <dcterms:modified xsi:type="dcterms:W3CDTF">2026-01-05T17:24:42Z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